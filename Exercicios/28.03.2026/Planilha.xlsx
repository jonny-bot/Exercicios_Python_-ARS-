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60" yWindow="300" windowWidth="18735" windowHeight="11700" activeTab="1"/>
  </bookViews>
  <sheets>
    <sheet name="Plan1" sheetId="1" r:id="rId1"/>
    <sheet name="Plan2" sheetId="2" r:id="rId2"/>
    <sheet name="Plan3" sheetId="3" r:id="rId3"/>
  </sheets>
  <calcPr calcId="124519"/>
</workbook>
</file>

<file path=xl/calcChain.xml><?xml version="1.0" encoding="utf-8"?>
<calcChain xmlns="http://schemas.openxmlformats.org/spreadsheetml/2006/main">
  <c r="E6" i="2"/>
  <c r="E7"/>
  <c r="E8"/>
  <c r="E9"/>
  <c r="E10"/>
  <c r="E11"/>
  <c r="E5"/>
  <c r="D5"/>
  <c r="D6"/>
  <c r="D7"/>
  <c r="D8"/>
  <c r="D9"/>
  <c r="D10"/>
  <c r="D11"/>
  <c r="F9" i="1"/>
  <c r="F19"/>
  <c r="D19"/>
  <c r="E19"/>
  <c r="C19"/>
  <c r="D9"/>
  <c r="E9"/>
  <c r="C9"/>
  <c r="I12"/>
  <c r="I13"/>
  <c r="I14"/>
  <c r="I15"/>
  <c r="I16"/>
  <c r="I17"/>
  <c r="H12"/>
  <c r="H13"/>
  <c r="H14"/>
  <c r="H15"/>
  <c r="H16"/>
  <c r="H17"/>
  <c r="G12"/>
  <c r="G13"/>
  <c r="G14"/>
  <c r="G15"/>
  <c r="G16"/>
  <c r="G17"/>
  <c r="F12"/>
  <c r="F13"/>
  <c r="F14"/>
  <c r="F15"/>
  <c r="F16"/>
  <c r="F17"/>
  <c r="I2"/>
  <c r="I3"/>
  <c r="I4"/>
  <c r="I5"/>
  <c r="I6"/>
  <c r="I7"/>
  <c r="H2"/>
  <c r="H3"/>
  <c r="H4"/>
  <c r="H5"/>
  <c r="H6"/>
  <c r="H7"/>
  <c r="G2"/>
  <c r="G3"/>
  <c r="G4"/>
  <c r="G5"/>
  <c r="G6"/>
  <c r="G7"/>
  <c r="F2"/>
  <c r="F3"/>
  <c r="F4"/>
  <c r="F5"/>
  <c r="F6"/>
  <c r="F7"/>
</calcChain>
</file>

<file path=xl/sharedStrings.xml><?xml version="1.0" encoding="utf-8"?>
<sst xmlns="http://schemas.openxmlformats.org/spreadsheetml/2006/main" count="47" uniqueCount="35">
  <si>
    <t>Código</t>
  </si>
  <si>
    <t>Produto</t>
  </si>
  <si>
    <t>Jan</t>
  </si>
  <si>
    <t>Fev</t>
  </si>
  <si>
    <t>Mar</t>
  </si>
  <si>
    <t>Total 1º Trim.</t>
  </si>
  <si>
    <t>Máximo</t>
  </si>
  <si>
    <t>Mínimo</t>
  </si>
  <si>
    <t>Média</t>
  </si>
  <si>
    <t>Porca</t>
  </si>
  <si>
    <t>Parafuso</t>
  </si>
  <si>
    <t>Arruela</t>
  </si>
  <si>
    <t>Prego</t>
  </si>
  <si>
    <t>Alicate</t>
  </si>
  <si>
    <t>Martelo</t>
  </si>
  <si>
    <t>Totais</t>
  </si>
  <si>
    <t>Abr</t>
  </si>
  <si>
    <t>Mai</t>
  </si>
  <si>
    <t>Jun</t>
  </si>
  <si>
    <t>Total 2º Trim.</t>
  </si>
  <si>
    <t>Total do Semestre</t>
  </si>
  <si>
    <t>Valor do Dólar</t>
  </si>
  <si>
    <t>Papelaria Papel Branco</t>
  </si>
  <si>
    <t>Produtos</t>
  </si>
  <si>
    <t>Qtde</t>
  </si>
  <si>
    <t>Preço Unit.</t>
  </si>
  <si>
    <t>Total R$</t>
  </si>
  <si>
    <t>Total US$</t>
  </si>
  <si>
    <t>Caneta Azul</t>
  </si>
  <si>
    <t>Caneta Vermelha</t>
  </si>
  <si>
    <t>Caderno</t>
  </si>
  <si>
    <t>Régua</t>
  </si>
  <si>
    <t>Lápis</t>
  </si>
  <si>
    <t>Papel Sulfite</t>
  </si>
  <si>
    <t>Tinta Nanquim</t>
  </si>
</sst>
</file>

<file path=xl/styles.xml><?xml version="1.0" encoding="utf-8"?>
<styleSheet xmlns="http://schemas.openxmlformats.org/spreadsheetml/2006/main">
  <numFmts count="1">
    <numFmt numFmtId="44" formatCode="_-&quot;R$&quot;\ * #,##0.00_-;\-&quot;R$&quot;\ * #,##0.00_-;_-&quot;R$&quot;\ * &quot;-&quot;??_-;_-@_-"/>
  </numFmts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44" fontId="0" fillId="0" borderId="1" xfId="1" applyFont="1" applyBorder="1"/>
    <xf numFmtId="44" fontId="0" fillId="0" borderId="4" xfId="1" applyFont="1" applyBorder="1"/>
    <xf numFmtId="44" fontId="0" fillId="0" borderId="2" xfId="1" applyFont="1" applyBorder="1"/>
    <xf numFmtId="44" fontId="0" fillId="0" borderId="9" xfId="1" applyFont="1" applyBorder="1"/>
  </cellXfs>
  <cellStyles count="2">
    <cellStyle name="Moeda" xfId="1" builtinId="4"/>
    <cellStyle name="Normal" xfId="0" builtinId="0"/>
  </cellStyles>
  <dxfs count="26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ela1" displayName="Tabela1" ref="A1:I7" totalsRowShown="0" headerRowDxfId="17" headerRowBorderDxfId="24" tableBorderDxfId="25" totalsRowBorderDxfId="23">
  <tableColumns count="9">
    <tableColumn id="1" name="Código" dataDxfId="22"/>
    <tableColumn id="2" name="Produto" dataDxfId="21"/>
    <tableColumn id="3" name="Jan" dataDxfId="20" dataCellStyle="Moeda"/>
    <tableColumn id="4" name="Fev" dataDxfId="19" dataCellStyle="Moeda"/>
    <tableColumn id="5" name="Mar" dataDxfId="18" dataCellStyle="Moeda"/>
    <tableColumn id="6" name="Total 1º Trim." dataDxfId="16" dataCellStyle="Moeda">
      <calculatedColumnFormula>SUM(Tabela1[[#This Row],[Jan]:[Mar]])</calculatedColumnFormula>
    </tableColumn>
    <tableColumn id="7" name="Máximo" dataDxfId="15" dataCellStyle="Moeda">
      <calculatedColumnFormula>LARGE(Tabela1[[#This Row],[Jan]:[Mar]],1)</calculatedColumnFormula>
    </tableColumn>
    <tableColumn id="8" name="Mínimo" dataDxfId="14" dataCellStyle="Moeda">
      <calculatedColumnFormula>SMALL(Tabela1[[#This Row],[Jan]:[Mar]],1)</calculatedColumnFormula>
    </tableColumn>
    <tableColumn id="9" name="Média" dataDxfId="13" dataCellStyle="Moeda">
      <calculatedColumnFormula>MEDIAN(Tabela1[[#This Row],[Jan]:[Mar]])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ela2" displayName="Tabela2" ref="A11:I17" totalsRowShown="0" headerRowDxfId="4" headerRowBorderDxfId="11" tableBorderDxfId="12" totalsRowBorderDxfId="10">
  <tableColumns count="9">
    <tableColumn id="1" name="Código" dataDxfId="9"/>
    <tableColumn id="2" name="Produto" dataDxfId="8"/>
    <tableColumn id="3" name="Abr" dataDxfId="7" dataCellStyle="Moeda"/>
    <tableColumn id="4" name="Mai" dataDxfId="6" dataCellStyle="Moeda"/>
    <tableColumn id="5" name="Jun" dataDxfId="5" dataCellStyle="Moeda"/>
    <tableColumn id="6" name="Total 2º Trim." dataDxfId="3" dataCellStyle="Moeda">
      <calculatedColumnFormula>SUM(Tabela2[[#This Row],[Abr]:[Jun]])</calculatedColumnFormula>
    </tableColumn>
    <tableColumn id="7" name="Máximo" dataDxfId="2" dataCellStyle="Moeda">
      <calculatedColumnFormula>LARGE(Tabela2[[#This Row],[Abr]:[Jun]],1)</calculatedColumnFormula>
    </tableColumn>
    <tableColumn id="8" name="Mínimo" dataDxfId="1" dataCellStyle="Moeda">
      <calculatedColumnFormula>SMALL(Tabela2[[#This Row],[Abr]:[Jun]],1)</calculatedColumnFormula>
    </tableColumn>
    <tableColumn id="9" name="Média" dataDxfId="0" dataCellStyle="Moeda">
      <calculatedColumnFormula>MEDIAN(Tabela2[[#This Row],[Abr]:[Jun]])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workbookViewId="0">
      <selection activeCell="F13" sqref="F13"/>
    </sheetView>
  </sheetViews>
  <sheetFormatPr defaultRowHeight="15"/>
  <cols>
    <col min="1" max="1" width="9.28515625" customWidth="1"/>
    <col min="2" max="2" width="10.28515625" customWidth="1"/>
    <col min="3" max="4" width="13.42578125" bestFit="1" customWidth="1"/>
    <col min="5" max="5" width="13.5703125" bestFit="1" customWidth="1"/>
    <col min="6" max="6" width="15" customWidth="1"/>
    <col min="7" max="7" width="13.42578125" bestFit="1" customWidth="1"/>
    <col min="8" max="9" width="13.28515625" bestFit="1" customWidth="1"/>
  </cols>
  <sheetData>
    <row r="1" spans="1:9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 t="s">
        <v>8</v>
      </c>
    </row>
    <row r="2" spans="1:9">
      <c r="A2" s="3">
        <v>1</v>
      </c>
      <c r="B2" s="1" t="s">
        <v>9</v>
      </c>
      <c r="C2" s="8">
        <v>4500</v>
      </c>
      <c r="D2" s="8">
        <v>5040</v>
      </c>
      <c r="E2" s="8">
        <v>5696</v>
      </c>
      <c r="F2" s="8">
        <f>SUM(Tabela1[[#This Row],[Jan]:[Mar]])</f>
        <v>15236</v>
      </c>
      <c r="G2" s="8">
        <f>LARGE(Tabela1[[#This Row],[Jan]:[Mar]],1)</f>
        <v>5696</v>
      </c>
      <c r="H2" s="8">
        <f>SMALL(Tabela1[[#This Row],[Jan]:[Mar]],1)</f>
        <v>4500</v>
      </c>
      <c r="I2" s="9">
        <f>MEDIAN(Tabela1[[#This Row],[Jan]:[Mar]])</f>
        <v>5040</v>
      </c>
    </row>
    <row r="3" spans="1:9">
      <c r="A3" s="3">
        <v>2</v>
      </c>
      <c r="B3" s="1" t="s">
        <v>10</v>
      </c>
      <c r="C3" s="8">
        <v>6250</v>
      </c>
      <c r="D3" s="8">
        <v>7000</v>
      </c>
      <c r="E3" s="8">
        <v>7910</v>
      </c>
      <c r="F3" s="8">
        <f>SUM(Tabela1[[#This Row],[Jan]:[Mar]])</f>
        <v>21160</v>
      </c>
      <c r="G3" s="8">
        <f>LARGE(Tabela1[[#This Row],[Jan]:[Mar]],1)</f>
        <v>7910</v>
      </c>
      <c r="H3" s="8">
        <f>SMALL(Tabela1[[#This Row],[Jan]:[Mar]],1)</f>
        <v>6250</v>
      </c>
      <c r="I3" s="9">
        <f>MEDIAN(Tabela1[[#This Row],[Jan]:[Mar]])</f>
        <v>7000</v>
      </c>
    </row>
    <row r="4" spans="1:9">
      <c r="A4" s="3">
        <v>3</v>
      </c>
      <c r="B4" s="1" t="s">
        <v>11</v>
      </c>
      <c r="C4" s="8">
        <v>3300</v>
      </c>
      <c r="D4" s="8">
        <v>3696</v>
      </c>
      <c r="E4" s="8">
        <v>4176</v>
      </c>
      <c r="F4" s="8">
        <f>SUM(Tabela1[[#This Row],[Jan]:[Mar]])</f>
        <v>11172</v>
      </c>
      <c r="G4" s="8">
        <f>LARGE(Tabela1[[#This Row],[Jan]:[Mar]],1)</f>
        <v>4176</v>
      </c>
      <c r="H4" s="8">
        <f>SMALL(Tabela1[[#This Row],[Jan]:[Mar]],1)</f>
        <v>3300</v>
      </c>
      <c r="I4" s="9">
        <f>MEDIAN(Tabela1[[#This Row],[Jan]:[Mar]])</f>
        <v>3696</v>
      </c>
    </row>
    <row r="5" spans="1:9">
      <c r="A5" s="3">
        <v>4</v>
      </c>
      <c r="B5" s="1" t="s">
        <v>12</v>
      </c>
      <c r="C5" s="8">
        <v>8000</v>
      </c>
      <c r="D5" s="8">
        <v>8690</v>
      </c>
      <c r="E5" s="8">
        <v>10125</v>
      </c>
      <c r="F5" s="8">
        <f>SUM(Tabela1[[#This Row],[Jan]:[Mar]])</f>
        <v>26815</v>
      </c>
      <c r="G5" s="8">
        <f>LARGE(Tabela1[[#This Row],[Jan]:[Mar]],1)</f>
        <v>10125</v>
      </c>
      <c r="H5" s="8">
        <f>SMALL(Tabela1[[#This Row],[Jan]:[Mar]],1)</f>
        <v>8000</v>
      </c>
      <c r="I5" s="9">
        <f>MEDIAN(Tabela1[[#This Row],[Jan]:[Mar]])</f>
        <v>8690</v>
      </c>
    </row>
    <row r="6" spans="1:9">
      <c r="A6" s="3">
        <v>5</v>
      </c>
      <c r="B6" s="1" t="s">
        <v>13</v>
      </c>
      <c r="C6" s="8">
        <v>4557</v>
      </c>
      <c r="D6" s="8">
        <v>5104</v>
      </c>
      <c r="E6" s="8">
        <v>5676</v>
      </c>
      <c r="F6" s="8">
        <f>SUM(Tabela1[[#This Row],[Jan]:[Mar]])</f>
        <v>15337</v>
      </c>
      <c r="G6" s="8">
        <f>LARGE(Tabela1[[#This Row],[Jan]:[Mar]],1)</f>
        <v>5676</v>
      </c>
      <c r="H6" s="8">
        <f>SMALL(Tabela1[[#This Row],[Jan]:[Mar]],1)</f>
        <v>4557</v>
      </c>
      <c r="I6" s="9">
        <f>MEDIAN(Tabela1[[#This Row],[Jan]:[Mar]])</f>
        <v>5104</v>
      </c>
    </row>
    <row r="7" spans="1:9">
      <c r="A7" s="7">
        <v>6</v>
      </c>
      <c r="B7" s="2" t="s">
        <v>14</v>
      </c>
      <c r="C7" s="10">
        <v>3260</v>
      </c>
      <c r="D7" s="10">
        <v>3640</v>
      </c>
      <c r="E7" s="10">
        <v>4113</v>
      </c>
      <c r="F7" s="10">
        <f>SUM(Tabela1[[#This Row],[Jan]:[Mar]])</f>
        <v>11013</v>
      </c>
      <c r="G7" s="10">
        <f>LARGE(Tabela1[[#This Row],[Jan]:[Mar]],1)</f>
        <v>4113</v>
      </c>
      <c r="H7" s="10">
        <f>SMALL(Tabela1[[#This Row],[Jan]:[Mar]],1)</f>
        <v>3260</v>
      </c>
      <c r="I7" s="11">
        <f>MEDIAN(Tabela1[[#This Row],[Jan]:[Mar]])</f>
        <v>3640</v>
      </c>
    </row>
    <row r="9" spans="1:9">
      <c r="B9" s="1" t="s">
        <v>15</v>
      </c>
      <c r="C9" s="8">
        <f>SUM(C2:C7)</f>
        <v>29867</v>
      </c>
      <c r="D9" s="8">
        <f t="shared" ref="D9:F9" si="0">SUM(D2:D7)</f>
        <v>33170</v>
      </c>
      <c r="E9" s="8">
        <f t="shared" si="0"/>
        <v>37696</v>
      </c>
      <c r="F9" s="8">
        <f t="shared" si="0"/>
        <v>100733</v>
      </c>
      <c r="G9" s="8"/>
      <c r="H9" s="8"/>
      <c r="I9" s="8"/>
    </row>
    <row r="11" spans="1:9">
      <c r="A11" s="4" t="s">
        <v>0</v>
      </c>
      <c r="B11" s="5" t="s">
        <v>1</v>
      </c>
      <c r="C11" s="5" t="s">
        <v>16</v>
      </c>
      <c r="D11" s="5" t="s">
        <v>17</v>
      </c>
      <c r="E11" s="5" t="s">
        <v>18</v>
      </c>
      <c r="F11" s="5" t="s">
        <v>19</v>
      </c>
      <c r="G11" s="5" t="s">
        <v>6</v>
      </c>
      <c r="H11" s="5" t="s">
        <v>7</v>
      </c>
      <c r="I11" s="6" t="s">
        <v>8</v>
      </c>
    </row>
    <row r="12" spans="1:9">
      <c r="A12" s="3">
        <v>1</v>
      </c>
      <c r="B12" s="1" t="s">
        <v>9</v>
      </c>
      <c r="C12" s="8">
        <v>6265</v>
      </c>
      <c r="D12" s="8">
        <v>6954</v>
      </c>
      <c r="E12" s="8">
        <v>7858</v>
      </c>
      <c r="F12" s="8">
        <f>SUM(Tabela2[[#This Row],[Abr]:[Jun]])</f>
        <v>21077</v>
      </c>
      <c r="G12" s="8">
        <f>LARGE(Tabela2[[#This Row],[Abr]:[Jun]],1)</f>
        <v>7858</v>
      </c>
      <c r="H12" s="8">
        <f>SMALL(Tabela2[[#This Row],[Abr]:[Jun]],1)</f>
        <v>6265</v>
      </c>
      <c r="I12" s="9">
        <f>MEDIAN(Tabela2[[#This Row],[Abr]:[Jun]])</f>
        <v>6954</v>
      </c>
    </row>
    <row r="13" spans="1:9">
      <c r="A13" s="3">
        <v>2</v>
      </c>
      <c r="B13" s="1" t="s">
        <v>10</v>
      </c>
      <c r="C13" s="8">
        <v>8701</v>
      </c>
      <c r="D13" s="8">
        <v>9658</v>
      </c>
      <c r="E13" s="8">
        <v>10197</v>
      </c>
      <c r="F13" s="8">
        <f>SUM(Tabela2[[#This Row],[Abr]:[Jun]])</f>
        <v>28556</v>
      </c>
      <c r="G13" s="8">
        <f>LARGE(Tabela2[[#This Row],[Abr]:[Jun]],1)</f>
        <v>10197</v>
      </c>
      <c r="H13" s="8">
        <f>SMALL(Tabela2[[#This Row],[Abr]:[Jun]],1)</f>
        <v>8701</v>
      </c>
      <c r="I13" s="9">
        <f>MEDIAN(Tabela2[[#This Row],[Abr]:[Jun]])</f>
        <v>9658</v>
      </c>
    </row>
    <row r="14" spans="1:9">
      <c r="A14" s="3">
        <v>3</v>
      </c>
      <c r="B14" s="1" t="s">
        <v>11</v>
      </c>
      <c r="C14" s="8">
        <v>4569</v>
      </c>
      <c r="D14" s="8">
        <v>5099</v>
      </c>
      <c r="E14" s="8">
        <v>5769</v>
      </c>
      <c r="F14" s="8">
        <f>SUM(Tabela2[[#This Row],[Abr]:[Jun]])</f>
        <v>15437</v>
      </c>
      <c r="G14" s="8">
        <f>LARGE(Tabela2[[#This Row],[Abr]:[Jun]],1)</f>
        <v>5769</v>
      </c>
      <c r="H14" s="8">
        <f>SMALL(Tabela2[[#This Row],[Abr]:[Jun]],1)</f>
        <v>4569</v>
      </c>
      <c r="I14" s="9">
        <f>MEDIAN(Tabela2[[#This Row],[Abr]:[Jun]])</f>
        <v>5099</v>
      </c>
    </row>
    <row r="15" spans="1:9">
      <c r="A15" s="3">
        <v>4</v>
      </c>
      <c r="B15" s="1" t="s">
        <v>12</v>
      </c>
      <c r="C15" s="8">
        <v>12341</v>
      </c>
      <c r="D15" s="8">
        <v>12365</v>
      </c>
      <c r="E15" s="8">
        <v>13969</v>
      </c>
      <c r="F15" s="8">
        <f>SUM(Tabela2[[#This Row],[Abr]:[Jun]])</f>
        <v>38675</v>
      </c>
      <c r="G15" s="8">
        <f>LARGE(Tabela2[[#This Row],[Abr]:[Jun]],1)</f>
        <v>13969</v>
      </c>
      <c r="H15" s="8">
        <f>SMALL(Tabela2[[#This Row],[Abr]:[Jun]],1)</f>
        <v>12341</v>
      </c>
      <c r="I15" s="9">
        <f>MEDIAN(Tabela2[[#This Row],[Abr]:[Jun]])</f>
        <v>12365</v>
      </c>
    </row>
    <row r="16" spans="1:9">
      <c r="A16" s="3">
        <v>5</v>
      </c>
      <c r="B16" s="1" t="s">
        <v>13</v>
      </c>
      <c r="C16" s="8">
        <v>6344</v>
      </c>
      <c r="D16" s="8">
        <v>7042</v>
      </c>
      <c r="E16" s="8">
        <v>7957</v>
      </c>
      <c r="F16" s="8">
        <f>SUM(Tabela2[[#This Row],[Abr]:[Jun]])</f>
        <v>21343</v>
      </c>
      <c r="G16" s="8">
        <f>LARGE(Tabela2[[#This Row],[Abr]:[Jun]],1)</f>
        <v>7957</v>
      </c>
      <c r="H16" s="8">
        <f>SMALL(Tabela2[[#This Row],[Abr]:[Jun]],1)</f>
        <v>6344</v>
      </c>
      <c r="I16" s="9">
        <f>MEDIAN(Tabela2[[#This Row],[Abr]:[Jun]])</f>
        <v>7042</v>
      </c>
    </row>
    <row r="17" spans="1:9">
      <c r="A17" s="7">
        <v>6</v>
      </c>
      <c r="B17" s="2" t="s">
        <v>14</v>
      </c>
      <c r="C17" s="10">
        <v>4525</v>
      </c>
      <c r="D17" s="10">
        <v>5022</v>
      </c>
      <c r="E17" s="10">
        <v>5671</v>
      </c>
      <c r="F17" s="10">
        <f>SUM(Tabela2[[#This Row],[Abr]:[Jun]])</f>
        <v>15218</v>
      </c>
      <c r="G17" s="10">
        <f>LARGE(Tabela2[[#This Row],[Abr]:[Jun]],1)</f>
        <v>5671</v>
      </c>
      <c r="H17" s="10">
        <f>SMALL(Tabela2[[#This Row],[Abr]:[Jun]],1)</f>
        <v>4525</v>
      </c>
      <c r="I17" s="11">
        <f>MEDIAN(Tabela2[[#This Row],[Abr]:[Jun]])</f>
        <v>5022</v>
      </c>
    </row>
    <row r="19" spans="1:9">
      <c r="B19" s="1" t="s">
        <v>15</v>
      </c>
      <c r="C19" s="8">
        <f>SUM(C12:C17)</f>
        <v>42745</v>
      </c>
      <c r="D19" s="8">
        <f t="shared" ref="D19:F19" si="1">SUM(D12:D17)</f>
        <v>46140</v>
      </c>
      <c r="E19" s="8">
        <f t="shared" si="1"/>
        <v>51421</v>
      </c>
      <c r="F19" s="8">
        <f t="shared" si="1"/>
        <v>140306</v>
      </c>
      <c r="G19" s="8"/>
      <c r="H19" s="8"/>
      <c r="I19" s="8"/>
    </row>
    <row r="21" spans="1:9" ht="16.5" customHeight="1">
      <c r="A21" t="s">
        <v>20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>
      <selection activeCell="B2" sqref="B2"/>
    </sheetView>
  </sheetViews>
  <sheetFormatPr defaultRowHeight="15"/>
  <cols>
    <col min="1" max="1" width="21.5703125" bestFit="1" customWidth="1"/>
    <col min="2" max="2" width="11.28515625" customWidth="1"/>
    <col min="3" max="3" width="10.85546875" bestFit="1" customWidth="1"/>
    <col min="4" max="4" width="12.140625" bestFit="1" customWidth="1"/>
    <col min="5" max="5" width="15.85546875" bestFit="1" customWidth="1"/>
  </cols>
  <sheetData>
    <row r="1" spans="1:5">
      <c r="A1" s="2" t="s">
        <v>21</v>
      </c>
      <c r="B1" s="2">
        <v>5.26</v>
      </c>
    </row>
    <row r="3" spans="1:5">
      <c r="A3" s="1" t="s">
        <v>22</v>
      </c>
      <c r="B3" s="1"/>
      <c r="C3" s="1"/>
      <c r="D3" s="1"/>
      <c r="E3" s="1"/>
    </row>
    <row r="4" spans="1:5">
      <c r="A4" s="1" t="s">
        <v>23</v>
      </c>
      <c r="B4" s="1" t="s">
        <v>24</v>
      </c>
      <c r="C4" s="1" t="s">
        <v>25</v>
      </c>
      <c r="D4" s="1" t="s">
        <v>26</v>
      </c>
      <c r="E4" s="1" t="s">
        <v>27</v>
      </c>
    </row>
    <row r="5" spans="1:5">
      <c r="A5" s="1" t="s">
        <v>28</v>
      </c>
      <c r="B5" s="1">
        <v>500</v>
      </c>
      <c r="C5" s="8">
        <v>0.15</v>
      </c>
      <c r="D5" s="8">
        <f>SUM(B5:C5)</f>
        <v>500.15</v>
      </c>
      <c r="E5" s="8">
        <f>D5*$B$1</f>
        <v>2630.7889999999998</v>
      </c>
    </row>
    <row r="6" spans="1:5">
      <c r="A6" s="1" t="s">
        <v>29</v>
      </c>
      <c r="B6" s="1">
        <v>750</v>
      </c>
      <c r="C6" s="8">
        <v>0.15</v>
      </c>
      <c r="D6" s="8">
        <f t="shared" ref="D6:D11" si="0">SUM(B6:C6)</f>
        <v>750.15</v>
      </c>
      <c r="E6" s="8">
        <f t="shared" ref="E6:E11" si="1">D6*$B$1</f>
        <v>3945.7889999999998</v>
      </c>
    </row>
    <row r="7" spans="1:5">
      <c r="A7" s="1" t="s">
        <v>30</v>
      </c>
      <c r="B7" s="1">
        <v>250</v>
      </c>
      <c r="C7" s="8">
        <v>10</v>
      </c>
      <c r="D7" s="8">
        <f t="shared" si="0"/>
        <v>260</v>
      </c>
      <c r="E7" s="8">
        <f t="shared" si="1"/>
        <v>1367.6</v>
      </c>
    </row>
    <row r="8" spans="1:5">
      <c r="A8" s="1" t="s">
        <v>31</v>
      </c>
      <c r="B8" s="1">
        <v>310</v>
      </c>
      <c r="C8" s="8">
        <v>0.5</v>
      </c>
      <c r="D8" s="8">
        <f t="shared" si="0"/>
        <v>310.5</v>
      </c>
      <c r="E8" s="8">
        <f t="shared" si="1"/>
        <v>1633.23</v>
      </c>
    </row>
    <row r="9" spans="1:5">
      <c r="A9" s="1" t="s">
        <v>32</v>
      </c>
      <c r="B9" s="1">
        <v>500</v>
      </c>
      <c r="C9" s="8">
        <v>0.1</v>
      </c>
      <c r="D9" s="8">
        <f t="shared" si="0"/>
        <v>500.1</v>
      </c>
      <c r="E9" s="8">
        <f t="shared" si="1"/>
        <v>2630.5259999999998</v>
      </c>
    </row>
    <row r="10" spans="1:5">
      <c r="A10" s="1" t="s">
        <v>33</v>
      </c>
      <c r="B10" s="1">
        <v>1500</v>
      </c>
      <c r="C10" s="8">
        <v>2.5</v>
      </c>
      <c r="D10" s="8">
        <f t="shared" si="0"/>
        <v>1502.5</v>
      </c>
      <c r="E10" s="8">
        <f t="shared" si="1"/>
        <v>7903.15</v>
      </c>
    </row>
    <row r="11" spans="1:5">
      <c r="A11" s="1" t="s">
        <v>34</v>
      </c>
      <c r="B11" s="1">
        <v>190</v>
      </c>
      <c r="C11" s="8">
        <v>6</v>
      </c>
      <c r="D11" s="8">
        <f t="shared" si="0"/>
        <v>196</v>
      </c>
      <c r="E11" s="8">
        <f t="shared" si="1"/>
        <v>1030.96</v>
      </c>
    </row>
  </sheetData>
  <pageMargins left="0.511811024" right="0.511811024" top="0.78740157499999996" bottom="0.78740157499999996" header="0.31496062000000002" footer="0.31496062000000002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2006-09-25T12:47:36Z</dcterms:created>
  <dcterms:modified xsi:type="dcterms:W3CDTF">2026-03-28T14:53:28Z</dcterms:modified>
</cp:coreProperties>
</file>